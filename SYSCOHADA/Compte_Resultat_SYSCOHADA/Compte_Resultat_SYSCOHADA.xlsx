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COMPTE_RESULTAT" sheetId="1"/>
  </sheets>
  <calcPr calcId="0" iterateCount="100" iterateDelta="0.001"/>
</workbook>
</file>

<file path=xl/sharedStrings.xml><?xml version="1.0" encoding="utf-8"?>
<sst xmlns="http://schemas.openxmlformats.org/spreadsheetml/2006/main" count="122" uniqueCount="122">
  <si>
    <t>REF</t>
  </si>
  <si>
    <t>LIBELLES</t>
  </si>
  <si>
    <t>NUMERO DE COMPTES</t>
  </si>
  <si>
    <t>MONTANT_N</t>
  </si>
  <si>
    <t>MONTANT_N_1</t>
  </si>
  <si>
    <t>TA</t>
  </si>
  <si>
    <t>Ventes de marchandises</t>
  </si>
  <si>
    <t>701</t>
  </si>
  <si>
    <t>RA</t>
  </si>
  <si>
    <t>Achats de marchandises</t>
  </si>
  <si>
    <t>601</t>
  </si>
  <si>
    <t>RB</t>
  </si>
  <si>
    <t>Variation de stocks de marchandises</t>
  </si>
  <si>
    <t>6031</t>
  </si>
  <si>
    <t>XA</t>
  </si>
  <si>
    <t>MARGE COMMERCIALE (Somme TA à RB)</t>
  </si>
  <si>
    <t>TB</t>
  </si>
  <si>
    <t>Ventes de produits fabriqués</t>
  </si>
  <si>
    <t>702, 703, 704</t>
  </si>
  <si>
    <t>TC</t>
  </si>
  <si>
    <t>Travaux, services vendus</t>
  </si>
  <si>
    <t>705, 706</t>
  </si>
  <si>
    <t>TD</t>
  </si>
  <si>
    <t>Produits accessoires</t>
  </si>
  <si>
    <t>707</t>
  </si>
  <si>
    <t>XB</t>
  </si>
  <si>
    <t>CHIFFRE D'AFFAIRES (A + B + C + D)</t>
  </si>
  <si>
    <t>TE</t>
  </si>
  <si>
    <t>Production stockée (ou déstockage)</t>
  </si>
  <si>
    <t>73</t>
  </si>
  <si>
    <t>TF</t>
  </si>
  <si>
    <t>Production immobilisée</t>
  </si>
  <si>
    <t>72</t>
  </si>
  <si>
    <t>TG</t>
  </si>
  <si>
    <t>Subventions d'exploitation</t>
  </si>
  <si>
    <t>71</t>
  </si>
  <si>
    <t>TH</t>
  </si>
  <si>
    <t>Autres produits</t>
  </si>
  <si>
    <t>75</t>
  </si>
  <si>
    <t>TI</t>
  </si>
  <si>
    <t>Transferts de charges d'exploitation</t>
  </si>
  <si>
    <t>781</t>
  </si>
  <si>
    <t>RC</t>
  </si>
  <si>
    <t>Achats de matières premières et fournitures liées</t>
  </si>
  <si>
    <t>602</t>
  </si>
  <si>
    <t>RD</t>
  </si>
  <si>
    <t>Variation de stocks de matières premières et fournitures liées</t>
  </si>
  <si>
    <t>6032</t>
  </si>
  <si>
    <t>RE</t>
  </si>
  <si>
    <t>Autres achats</t>
  </si>
  <si>
    <t>604, 605, 608</t>
  </si>
  <si>
    <t>RF</t>
  </si>
  <si>
    <t>Variation de stocks d'autres approvisionnements</t>
  </si>
  <si>
    <t>6033</t>
  </si>
  <si>
    <t>RG</t>
  </si>
  <si>
    <t>Transports</t>
  </si>
  <si>
    <t>61</t>
  </si>
  <si>
    <t>RH</t>
  </si>
  <si>
    <t>Services extérieurs</t>
  </si>
  <si>
    <t>62, 63</t>
  </si>
  <si>
    <t>RI</t>
  </si>
  <si>
    <t>Impôts et taxes</t>
  </si>
  <si>
    <t>64</t>
  </si>
  <si>
    <t>RJ</t>
  </si>
  <si>
    <t>Autres charges</t>
  </si>
  <si>
    <t>65</t>
  </si>
  <si>
    <t>XC</t>
  </si>
  <si>
    <t>VALEUR AJOUTEE (XB + RA + RB) + (somme TE à RJ)</t>
  </si>
  <si>
    <t>RK</t>
  </si>
  <si>
    <t>Charges de personnel</t>
  </si>
  <si>
    <t>66</t>
  </si>
  <si>
    <t>XD</t>
  </si>
  <si>
    <t>EXCEDENT BRUT D'EXPLOITATION (XC + RK)</t>
  </si>
  <si>
    <t>TJ</t>
  </si>
  <si>
    <t>Reprises d'amortissements, de provisions et dépréciations</t>
  </si>
  <si>
    <t>791, 798, 799</t>
  </si>
  <si>
    <t>RL</t>
  </si>
  <si>
    <t>Dotations aux amortissements, aux provisions et dépréciations</t>
  </si>
  <si>
    <t>681, 691</t>
  </si>
  <si>
    <t>XE</t>
  </si>
  <si>
    <t>RESULTAT D'EXPLOITATION (XD + TJ + RL)</t>
  </si>
  <si>
    <t>TK</t>
  </si>
  <si>
    <t>Revenus financiers et assimilés</t>
  </si>
  <si>
    <t>77</t>
  </si>
  <si>
    <t>TL</t>
  </si>
  <si>
    <t>Reprises de provisions et dépréciations financières</t>
  </si>
  <si>
    <t>797</t>
  </si>
  <si>
    <t>TM</t>
  </si>
  <si>
    <t>Transferts de charges financières</t>
  </si>
  <si>
    <t>787</t>
  </si>
  <si>
    <t>RM</t>
  </si>
  <si>
    <t>Frais financiers et charges assimilés</t>
  </si>
  <si>
    <t>67</t>
  </si>
  <si>
    <t>RN</t>
  </si>
  <si>
    <t>Dotations aux provisions et aux dépréciations financières</t>
  </si>
  <si>
    <t>697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</si>
  <si>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</si>
  <si>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</si>
  <si>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</si>
  <si>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</si>
  <si>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</si>
  <si>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</si>
  <si>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82</t>
  </si>
  <si>
    <t>TO</t>
  </si>
  <si>
    <t>Autres Produits HAO</t>
  </si>
  <si>
    <t>84, 86, 88</t>
  </si>
  <si>
    <t>RO</t>
  </si>
  <si>
    <t>Valeurs comptables des cessions d'immobilisations</t>
  </si>
  <si>
    <t>81</t>
  </si>
  <si>
    <t>RP</t>
  </si>
  <si>
    <t>Autres Charges HAO</t>
  </si>
  <si>
    <t>83, 85</t>
  </si>
  <si>
    <t>XH</t>
  </si>
  <si>
    <t>RESULTAT HORS ACTIVITES ORDINAIRES (somme TN à RP)</t>
  </si>
  <si>
    <t>RQ</t>
  </si>
  <si>
    <t>Participation des travailleurs</t>
  </si>
  <si>
    <t>87</t>
  </si>
  <si>
    <t>RS</t>
  </si>
  <si>
    <t>Impôts sur le résultat</t>
  </si>
  <si>
    <t>89</t>
  </si>
  <si>
    <t>XI</t>
  </si>
  <si>
    <t>RESULTAT NET (XG + XH + RQ + 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</si>
</sst>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b val="0"/>
      <i val="0"/>
      <sz val="11"/>
      <color theme="1"/>
      <name val="Calibri"/>
      <scheme val="minor"/>
    </font>
    <font>
      <b/>
      <i val="0"/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6">
    <xf numFmtId="0" fontId="0" fillId="0" borderId="1" xfId="0"/>
    <xf numFmtId="0" fontId="0" fillId="0" borderId="1" xfId="0">
      <alignment horizontal="center" vertical="center"/>
    </xf>
    <xf numFmtId="0" fontId="1" fillId="0" borderId="2" xfId="0">
      <alignment horizontal="center" vertical="top"/>
    </xf>
    <xf numFmtId="0" fontId="1" fillId="2" borderId="2" xfId="0"/>
    <xf numFmtId="0" fontId="1" fillId="3" borderId="2" xfId="0"/>
    <xf numFmtId="0" fontId="1" fillId="4" borderId="2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3EDA3B8-67BC-040F-95A8-7174F9EB93C8}" mc:Ignorable="x14ac xr xr2 xr3">
  <dimension ref="A1:AX501"/>
  <sheetViews>
    <sheetView topLeftCell="A1" workbookViewId="0" tabSelected="1">
      <pane ySplit="1" topLeftCell="A2" activePane="bottomLeft" state="frozen"/>
      <selection pane="bottomLeft" activeCell="D5" sqref="D5"/>
    </sheetView>
  </sheetViews>
  <sheetFormatPr defaultRowHeight="21.75" defaultColWidth="9.140625" customHeight="1"/>
  <cols>
    <col min="1" max="1" width="3.7109375" customWidth="1"/>
    <col min="2" max="2" width="53.7109375" customWidth="1"/>
    <col min="3" max="3" width="20.421875" customWidth="1"/>
    <col min="4" max="4" width="16.8515625" customWidth="1"/>
    <col min="5" max="5" width="14.14062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1.7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ht="21.75" customHeight="1">
      <c r="A3" t="s">
        <v>5</v>
      </c>
      <c r="B3" t="s">
        <v>6</v>
      </c>
      <c r="C3" t="s">
        <v>7</v>
      </c>
      <c r="D3">
        <v>0</v>
      </c>
      <c r="E3">
        <v>0</v>
      </c>
    </row>
    <row r="4" ht="21.75" customHeight="1">
      <c r="A4" t="s">
        <v>8</v>
      </c>
      <c r="B4" t="s">
        <v>9</v>
      </c>
      <c r="C4" t="s">
        <v>10</v>
      </c>
      <c r="D4">
        <v>0</v>
      </c>
      <c r="E4">
        <v>0</v>
      </c>
    </row>
    <row r="5" ht="21.75" customHeight="1">
      <c r="A5" t="s">
        <v>11</v>
      </c>
      <c r="B5" t="s">
        <v>12</v>
      </c>
      <c r="C5" t="s">
        <v>13</v>
      </c>
      <c r="D5">
        <v>0</v>
      </c>
      <c r="E5">
        <v>0</v>
      </c>
    </row>
    <row r="6" ht="21.75" customHeight="1" s="3" customFormat="1">
      <c r="A6" s="3" t="s">
        <v>14</v>
      </c>
      <c r="B6" s="3" t="s">
        <v>15</v>
      </c>
      <c r="D6" s="3">
        <f t="shared" si="0" ref="D6:E6">D3-D4+D5</f>
        <v>0</v>
      </c>
      <c r="E6" s="3">
        <f t="shared" si="0"/>
        <v>0</v>
      </c>
    </row>
    <row r="7" ht="21.75" customHeight="1">
      <c r="A7" t="s">
        <v>16</v>
      </c>
      <c r="B7" t="s">
        <v>17</v>
      </c>
      <c r="C7" t="s">
        <v>18</v>
      </c>
      <c r="D7">
        <v>0</v>
      </c>
      <c r="E7">
        <v>0</v>
      </c>
    </row>
    <row r="8" ht="21.75" customHeight="1">
      <c r="A8" t="s">
        <v>19</v>
      </c>
      <c r="B8" t="s">
        <v>20</v>
      </c>
      <c r="C8" t="s">
        <v>21</v>
      </c>
      <c r="D8">
        <v>0</v>
      </c>
      <c r="E8">
        <v>0</v>
      </c>
    </row>
    <row r="9" ht="21.75" customHeight="1">
      <c r="A9" t="s">
        <v>22</v>
      </c>
      <c r="B9" t="s">
        <v>23</v>
      </c>
      <c r="C9" t="s">
        <v>24</v>
      </c>
      <c r="D9">
        <v>0</v>
      </c>
      <c r="E9">
        <v>0</v>
      </c>
    </row>
    <row r="10" ht="21.75" customHeight="1" s="3" customFormat="1">
      <c r="A10" s="3" t="s">
        <v>25</v>
      </c>
      <c r="B10" s="3" t="s">
        <v>26</v>
      </c>
      <c r="D10" s="3">
        <f t="shared" si="1" ref="D10:E10">D3+D7+D8+D9</f>
        <v>0</v>
      </c>
      <c r="E10" s="3">
        <f t="shared" si="1"/>
        <v>0</v>
      </c>
    </row>
    <row r="11" ht="21.75" customHeight="1">
      <c r="A11" t="s">
        <v>27</v>
      </c>
      <c r="B11" t="s">
        <v>28</v>
      </c>
      <c r="C11" t="s">
        <v>29</v>
      </c>
      <c r="D11">
        <v>0</v>
      </c>
      <c r="E11">
        <v>0</v>
      </c>
    </row>
    <row r="12" ht="21.75" customHeight="1">
      <c r="A12" t="s">
        <v>30</v>
      </c>
      <c r="B12" t="s">
        <v>31</v>
      </c>
      <c r="C12" t="s">
        <v>32</v>
      </c>
      <c r="D12">
        <v>0</v>
      </c>
      <c r="E12">
        <v>0</v>
      </c>
    </row>
    <row r="13" ht="21.75" customHeight="1">
      <c r="A13" t="s">
        <v>33</v>
      </c>
      <c r="B13" t="s">
        <v>34</v>
      </c>
      <c r="C13" t="s">
        <v>35</v>
      </c>
      <c r="D13">
        <v>0</v>
      </c>
      <c r="E13">
        <v>0</v>
      </c>
    </row>
    <row r="14" ht="21.75" customHeight="1">
      <c r="A14" t="s">
        <v>36</v>
      </c>
      <c r="B14" t="s">
        <v>37</v>
      </c>
      <c r="C14" t="s">
        <v>38</v>
      </c>
      <c r="D14">
        <v>0</v>
      </c>
      <c r="E14">
        <v>0</v>
      </c>
    </row>
    <row r="15" ht="21.75" customHeight="1">
      <c r="A15" t="s">
        <v>39</v>
      </c>
      <c r="B15" t="s">
        <v>40</v>
      </c>
      <c r="C15" t="s">
        <v>41</v>
      </c>
      <c r="D15">
        <v>0</v>
      </c>
      <c r="E15">
        <v>0</v>
      </c>
    </row>
    <row r="16" ht="21.75" customHeight="1">
      <c r="A16" t="s">
        <v>42</v>
      </c>
      <c r="B16" t="s">
        <v>43</v>
      </c>
      <c r="C16" t="s">
        <v>44</v>
      </c>
      <c r="D16">
        <v>0</v>
      </c>
      <c r="E16">
        <v>0</v>
      </c>
    </row>
    <row r="17" ht="21.75" customHeight="1">
      <c r="A17" t="s">
        <v>45</v>
      </c>
      <c r="B17" t="s">
        <v>46</v>
      </c>
      <c r="C17" t="s">
        <v>47</v>
      </c>
      <c r="D17">
        <v>0</v>
      </c>
      <c r="E17">
        <v>0</v>
      </c>
    </row>
    <row r="18" ht="21.75" customHeight="1">
      <c r="A18" t="s">
        <v>48</v>
      </c>
      <c r="B18" t="s">
        <v>49</v>
      </c>
      <c r="C18" t="s">
        <v>50</v>
      </c>
      <c r="D18">
        <v>0</v>
      </c>
      <c r="E18">
        <v>0</v>
      </c>
    </row>
    <row r="19" ht="21.75" customHeight="1">
      <c r="A19" t="s">
        <v>51</v>
      </c>
      <c r="B19" t="s">
        <v>52</v>
      </c>
      <c r="C19" t="s">
        <v>53</v>
      </c>
      <c r="D19">
        <v>0</v>
      </c>
      <c r="E19">
        <v>0</v>
      </c>
    </row>
    <row r="20" ht="21.75" customHeight="1">
      <c r="A20" t="s">
        <v>54</v>
      </c>
      <c r="B20" t="s">
        <v>55</v>
      </c>
      <c r="C20" t="s">
        <v>56</v>
      </c>
      <c r="D20">
        <v>0</v>
      </c>
      <c r="E20">
        <v>0</v>
      </c>
    </row>
    <row r="21" ht="21.75" customHeight="1">
      <c r="A21" t="s">
        <v>57</v>
      </c>
      <c r="B21" t="s">
        <v>58</v>
      </c>
      <c r="C21" t="s">
        <v>59</v>
      </c>
      <c r="D21">
        <v>0</v>
      </c>
      <c r="E21">
        <v>0</v>
      </c>
    </row>
    <row r="22" ht="21.75" customHeight="1">
      <c r="A22" t="s">
        <v>60</v>
      </c>
      <c r="B22" t="s">
        <v>61</v>
      </c>
      <c r="C22" t="s">
        <v>62</v>
      </c>
      <c r="D22">
        <v>0</v>
      </c>
      <c r="E22">
        <v>0</v>
      </c>
    </row>
    <row r="23" ht="21.75" customHeight="1">
      <c r="A23" t="s">
        <v>63</v>
      </c>
      <c r="B23" t="s">
        <v>64</v>
      </c>
      <c r="C23" t="s">
        <v>65</v>
      </c>
      <c r="D23">
        <v>0</v>
      </c>
      <c r="E23">
        <v>0</v>
      </c>
    </row>
    <row r="24" ht="21.75" customHeight="1" s="3" customFormat="1">
      <c r="A24" s="3" t="s">
        <v>66</v>
      </c>
      <c r="B24" s="3" t="s">
        <v>67</v>
      </c>
      <c r="D24" s="3">
        <f t="shared" si="2" ref="D24:E24">D10-D4+D5+D11+D12+D13+D14+D15-D16+D17-D18+D19-D20-D21-D22-D23</f>
        <v>0</v>
      </c>
      <c r="E24" s="3">
        <f t="shared" si="2"/>
        <v>0</v>
      </c>
    </row>
    <row r="25" ht="21.75" customHeight="1">
      <c r="A25" t="s">
        <v>68</v>
      </c>
      <c r="B25" t="s">
        <v>69</v>
      </c>
      <c r="C25" t="s">
        <v>70</v>
      </c>
      <c r="D25">
        <v>0</v>
      </c>
      <c r="E25">
        <v>0</v>
      </c>
    </row>
    <row r="26" ht="21.75" customHeight="1" s="3" customFormat="1">
      <c r="A26" s="3" t="s">
        <v>71</v>
      </c>
      <c r="B26" s="3" t="s">
        <v>72</v>
      </c>
      <c r="D26" s="3">
        <f t="shared" si="3" ref="D26:E26">D24-D25</f>
        <v>0</v>
      </c>
      <c r="E26" s="3">
        <f t="shared" si="3"/>
        <v>0</v>
      </c>
    </row>
    <row r="27" ht="21.75" customHeight="1">
      <c r="A27" t="s">
        <v>73</v>
      </c>
      <c r="B27" t="s">
        <v>74</v>
      </c>
      <c r="C27" t="s">
        <v>75</v>
      </c>
      <c r="D27">
        <v>0</v>
      </c>
      <c r="E27">
        <v>0</v>
      </c>
    </row>
    <row r="28" ht="21.75" customHeight="1">
      <c r="A28" t="s">
        <v>76</v>
      </c>
      <c r="B28" t="s">
        <v>77</v>
      </c>
      <c r="C28" t="s">
        <v>78</v>
      </c>
      <c r="D28">
        <v>0</v>
      </c>
      <c r="E28">
        <v>0</v>
      </c>
    </row>
    <row r="29" ht="21.75" customHeight="1" s="3" customFormat="1">
      <c r="A29" s="3" t="s">
        <v>79</v>
      </c>
      <c r="B29" s="3" t="s">
        <v>80</v>
      </c>
      <c r="D29" s="3">
        <f t="shared" si="4" ref="D29:E29">D26+D27-D28</f>
        <v>0</v>
      </c>
      <c r="E29" s="3">
        <f t="shared" si="4"/>
        <v>0</v>
      </c>
    </row>
    <row r="30" ht="21.75" customHeight="1">
      <c r="A30" t="s">
        <v>81</v>
      </c>
      <c r="B30" t="s">
        <v>82</v>
      </c>
      <c r="C30" t="s">
        <v>83</v>
      </c>
      <c r="D30">
        <v>0</v>
      </c>
      <c r="E30">
        <v>0</v>
      </c>
    </row>
    <row r="31" ht="21.75" customHeight="1">
      <c r="A31" t="s">
        <v>84</v>
      </c>
      <c r="B31" t="s">
        <v>85</v>
      </c>
      <c r="C31" t="s">
        <v>86</v>
      </c>
      <c r="D31">
        <v>0</v>
      </c>
      <c r="E31">
        <v>0</v>
      </c>
    </row>
    <row r="32" ht="21.75" customHeight="1">
      <c r="A32" t="s">
        <v>87</v>
      </c>
      <c r="B32" t="s">
        <v>88</v>
      </c>
      <c r="C32" t="s">
        <v>89</v>
      </c>
      <c r="D32">
        <v>0</v>
      </c>
      <c r="E32">
        <v>0</v>
      </c>
    </row>
    <row r="33" ht="21.75" customHeight="1">
      <c r="A33" t="s">
        <v>90</v>
      </c>
      <c r="B33" t="s">
        <v>91</v>
      </c>
      <c r="C33" t="s">
        <v>92</v>
      </c>
      <c r="D33">
        <v>0</v>
      </c>
      <c r="E33">
        <v>0</v>
      </c>
    </row>
    <row r="34" ht="21.75" customHeight="1">
      <c r="A34" t="s">
        <v>93</v>
      </c>
      <c r="B34" t="s">
        <v>94</v>
      </c>
      <c r="C34" t="s">
        <v>95</v>
      </c>
      <c r="D34">
        <v>0</v>
      </c>
      <c r="E34">
        <v>0</v>
      </c>
    </row>
    <row r="35" ht="21.75" customHeight="1" s="3" customFormat="1">
      <c r="A35" s="3" t="s">
        <v>96</v>
      </c>
      <c r="B35" s="3" t="s">
        <v>97</v>
      </c>
      <c r="D35" s="3">
        <f t="shared" si="5" ref="D35:E35">D30+D31+D32-D33-D34</f>
        <v>0</v>
      </c>
      <c r="E35" s="3">
        <f t="shared" si="5"/>
        <v>0</v>
      </c>
    </row>
    <row r="36" ht="21.75" customHeight="1" s="4" customFormat="1">
      <c r="A36" s="4" t="s">
        <v>98</v>
      </c>
      <c r="B36" s="4" t="s">
        <v>99</v>
      </c>
      <c r="D36" s="4">
        <f t="shared" si="6" ref="D36:E36">D29+D35</f>
        <v>0</v>
      </c>
      <c r="E36" s="4">
        <f t="shared" si="6"/>
        <v>0</v>
      </c>
    </row>
    <row r="37" ht="21.75" customHeight="1">
      <c r="A37" t="s">
        <v>100</v>
      </c>
      <c r="B37" t="s">
        <v>101</v>
      </c>
      <c r="C37" t="s">
        <v>102</v>
      </c>
      <c r="D37">
        <v>0</v>
      </c>
      <c r="E37">
        <v>0</v>
      </c>
    </row>
    <row r="38" ht="21.75" customHeight="1">
      <c r="A38" t="s">
        <v>103</v>
      </c>
      <c r="B38" t="s">
        <v>104</v>
      </c>
      <c r="C38" t="s">
        <v>105</v>
      </c>
      <c r="D38">
        <v>0</v>
      </c>
      <c r="E38">
        <v>0</v>
      </c>
    </row>
    <row r="39" ht="21.75" customHeight="1">
      <c r="A39" t="s">
        <v>106</v>
      </c>
      <c r="B39" t="s">
        <v>107</v>
      </c>
      <c r="C39" t="s">
        <v>108</v>
      </c>
      <c r="D39">
        <v>0</v>
      </c>
      <c r="E39">
        <v>0</v>
      </c>
    </row>
    <row r="40" ht="21.75" customHeight="1">
      <c r="A40" t="s">
        <v>109</v>
      </c>
      <c r="B40" t="s">
        <v>110</v>
      </c>
      <c r="C40" t="s">
        <v>111</v>
      </c>
      <c r="D40">
        <v>0</v>
      </c>
      <c r="E40">
        <v>0</v>
      </c>
    </row>
    <row r="41" ht="21.75" customHeight="1" s="3" customFormat="1">
      <c r="A41" s="3" t="s">
        <v>112</v>
      </c>
      <c r="B41" s="3" t="s">
        <v>113</v>
      </c>
      <c r="D41" s="3">
        <f t="shared" si="7" ref="D41:E41">D37+D38-D39-D40</f>
        <v>0</v>
      </c>
      <c r="E41" s="3">
        <f t="shared" si="7"/>
        <v>0</v>
      </c>
    </row>
    <row r="42" ht="21.75" customHeight="1">
      <c r="A42" t="s">
        <v>114</v>
      </c>
      <c r="B42" t="s">
        <v>115</v>
      </c>
      <c r="C42" t="s">
        <v>116</v>
      </c>
      <c r="D42">
        <v>0</v>
      </c>
      <c r="E42">
        <v>0</v>
      </c>
    </row>
    <row r="43" ht="21.75" customHeight="1">
      <c r="A43" t="s">
        <v>117</v>
      </c>
      <c r="B43" t="s">
        <v>118</v>
      </c>
      <c r="C43" t="s">
        <v>119</v>
      </c>
      <c r="D43">
        <v>0</v>
      </c>
      <c r="E43">
        <v>0</v>
      </c>
    </row>
    <row r="44" ht="21.75" customHeight="1" s="5" customFormat="1">
      <c r="A44" s="5" t="s">
        <v>120</v>
      </c>
      <c r="B44" s="5" t="s">
        <v>121</v>
      </c>
      <c r="D44" s="5">
        <f t="shared" si="8" ref="D44:E44">D36+D41-D42-D43</f>
        <v>0</v>
      </c>
      <c r="E44" s="5">
        <f t="shared" si="8"/>
        <v>0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COMPTE_RESULTAT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2026-04-07T22:37:49Z</dcterms:created>
  <dcterms:modified xsi:type="dcterms:W3CDTF">2026-04-07T22:37:49Z</dcterms:modified>
</cp:coreProperties>
</file>