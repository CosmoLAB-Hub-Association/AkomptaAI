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kid\Downloads\Comment créer un bilan comptable conforme à SYSCOHADA\"/>
    </mc:Choice>
  </mc:AlternateContent>
  <xr:revisionPtr revIDLastSave="0" documentId="13_ncr:1_{35CB1762-0E3F-4CB3-A570-EF6A26C5B5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IF" sheetId="1" r:id="rId1"/>
    <sheet name="PASSIF" sheetId="2" r:id="rId2"/>
    <sheet name="Mapping API" sheetId="3" r:id="rId3"/>
    <sheet name="JSON_Ex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D27" i="2"/>
  <c r="E24" i="2"/>
  <c r="D24" i="2"/>
  <c r="E16" i="2"/>
  <c r="D16" i="2"/>
  <c r="E12" i="2"/>
  <c r="E17" i="2" s="1"/>
  <c r="E29" i="2" s="1"/>
  <c r="D12" i="2"/>
  <c r="D17" i="2" s="1"/>
  <c r="D29" i="2" s="1"/>
  <c r="F29" i="1"/>
  <c r="G28" i="1"/>
  <c r="E28" i="1"/>
  <c r="D28" i="1"/>
  <c r="F28" i="1" s="1"/>
  <c r="F27" i="1"/>
  <c r="F26" i="1"/>
  <c r="F25" i="1"/>
  <c r="F23" i="1"/>
  <c r="F22" i="1"/>
  <c r="F21" i="1"/>
  <c r="F19" i="1"/>
  <c r="F18" i="1"/>
  <c r="F16" i="1"/>
  <c r="F15" i="1"/>
  <c r="G14" i="1"/>
  <c r="E14" i="1"/>
  <c r="D14" i="1"/>
  <c r="F14" i="1" s="1"/>
  <c r="F13" i="1"/>
  <c r="F12" i="1"/>
  <c r="F11" i="1"/>
  <c r="F10" i="1"/>
  <c r="F9" i="1"/>
  <c r="F8" i="1"/>
  <c r="G7" i="1"/>
  <c r="E7" i="1"/>
  <c r="F7" i="1" s="1"/>
  <c r="D7" i="1"/>
  <c r="F6" i="1"/>
  <c r="F5" i="1"/>
  <c r="F4" i="1"/>
  <c r="F3" i="1"/>
  <c r="G2" i="1"/>
  <c r="G17" i="1" s="1"/>
  <c r="E2" i="1"/>
  <c r="F2" i="1" s="1"/>
  <c r="D2" i="1"/>
  <c r="D17" i="1" s="1"/>
  <c r="E17" i="1" l="1"/>
  <c r="F17" i="1" l="1"/>
  <c r="F30" i="1"/>
  <c r="D30" i="1"/>
  <c r="G30" i="1"/>
  <c r="G24" i="1"/>
  <c r="G20" i="1"/>
  <c r="D24" i="1"/>
  <c r="F24" i="1"/>
  <c r="E20" i="1"/>
  <c r="E24" i="1"/>
  <c r="E30" i="1"/>
  <c r="D20" i="1"/>
  <c r="F20" i="1"/>
</calcChain>
</file>

<file path=xl/sharedStrings.xml><?xml version="1.0" encoding="utf-8"?>
<sst xmlns="http://schemas.openxmlformats.org/spreadsheetml/2006/main" count="232" uniqueCount="189">
  <si>
    <t>REF</t>
  </si>
  <si>
    <t>ACTIF</t>
  </si>
  <si>
    <t>Note</t>
  </si>
  <si>
    <t>BRUT</t>
  </si>
  <si>
    <t>AMORT/DEPREC</t>
  </si>
  <si>
    <t>NET_N</t>
  </si>
  <si>
    <t>NET_N_1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</si>
  <si>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</si>
  <si>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</si>
  <si>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</si>
  <si>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</si>
  <si>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</si>
  <si>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</si>
  <si>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</si>
  <si>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</si>
  <si>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</si>
  <si>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</si>
  <si>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</si>
  <si>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AP</t>
  </si>
  <si>
    <t>AQ</t>
  </si>
  <si>
    <t>AR</t>
  </si>
  <si>
    <t>AS</t>
  </si>
  <si>
    <t>AZ</t>
  </si>
  <si>
    <t>BA</t>
  </si>
  <si>
    <t>BB</t>
  </si>
  <si>
    <t>BG</t>
  </si>
  <si>
    <t>BH</t>
  </si>
  <si>
    <t>BI</t>
  </si>
  <si>
    <t>BJ</t>
  </si>
  <si>
    <t>BK</t>
  </si>
  <si>
    <t>BQ</t>
  </si>
  <si>
    <t>BR</t>
  </si>
  <si>
    <t>BS</t>
  </si>
  <si>
    <t>BT</t>
  </si>
  <si>
    <t>BU</t>
  </si>
  <si>
    <t>BZ</t>
  </si>
  <si>
    <t>IMMOBILISATIONS INCORPORELLES</t>
  </si>
  <si>
    <t>Frais de développement et de prospection</t>
  </si>
  <si>
    <t>Brevets, licences, logiciels, et droits similaires</t>
  </si>
  <si>
    <t>Fonds commercial et droit au bail</t>
  </si>
  <si>
    <t>Autres immobilisations incorporelles</t>
  </si>
  <si>
    <t>IMMOBILISATIONS CORPORELLES</t>
  </si>
  <si>
    <t>Terrains (1)</t>
  </si>
  <si>
    <t>Bâtiments (1)</t>
  </si>
  <si>
    <t>Aménagements, agencements et installations</t>
  </si>
  <si>
    <t>Matériel, mobilier et actifs biologiques</t>
  </si>
  <si>
    <t>Matériel de transport</t>
  </si>
  <si>
    <t>Avances et acomptes versés sur immobilisations</t>
  </si>
  <si>
    <t>IMMOBILISATIONS FINANCIERES</t>
  </si>
  <si>
    <t>Titres de participation</t>
  </si>
  <si>
    <t>Autres immobilisations financières</t>
  </si>
  <si>
    <t>TOTAL ACTIF IMMOBILISE</t>
  </si>
  <si>
    <t>ACTIF CIRCULANT HAO</t>
  </si>
  <si>
    <t>STOCKS ET ENCOURS</t>
  </si>
  <si>
    <t>CREANCES ET EMPLOIS ASSIMILES</t>
  </si>
  <si>
    <t>Fournisseurs avances versées</t>
  </si>
  <si>
    <t>Clients</t>
  </si>
  <si>
    <t>Autres créances</t>
  </si>
  <si>
    <t>TOTAL ACTIF CIRCULANT</t>
  </si>
  <si>
    <t>Titres de placement</t>
  </si>
  <si>
    <t>Valeurs à encaisser</t>
  </si>
  <si>
    <t>Banques, chèques postaux, caisse et assimilés</t>
  </si>
  <si>
    <t>TOTAL TRESORERIE-ACTIF</t>
  </si>
  <si>
    <t>Ecart de conversion-Actif</t>
  </si>
  <si>
    <t>TOTAL GENERAL</t>
  </si>
  <si>
    <t>3</t>
  </si>
  <si>
    <t>4</t>
  </si>
  <si>
    <t>5</t>
  </si>
  <si>
    <t>6</t>
  </si>
  <si>
    <t>17</t>
  </si>
  <si>
    <t>7</t>
  </si>
  <si>
    <t>8</t>
  </si>
  <si>
    <t>9</t>
  </si>
  <si>
    <t>10</t>
  </si>
  <si>
    <t>11</t>
  </si>
  <si>
    <t>12</t>
  </si>
  <si>
    <t>PASSIF</t>
  </si>
  <si>
    <t>CA</t>
  </si>
  <si>
    <t>CB</t>
  </si>
  <si>
    <t>CD</t>
  </si>
  <si>
    <t>CE</t>
  </si>
  <si>
    <t>CF</t>
  </si>
  <si>
    <t>CG</t>
  </si>
  <si>
    <t>CH</t>
  </si>
  <si>
    <t>CJ</t>
  </si>
  <si>
    <t>CL</t>
  </si>
  <si>
    <t>CM</t>
  </si>
  <si>
    <t>CP</t>
  </si>
  <si>
    <t>DA</t>
  </si>
  <si>
    <t>DB</t>
  </si>
  <si>
    <t>DC</t>
  </si>
  <si>
    <t>DD</t>
  </si>
  <si>
    <t>DF</t>
  </si>
  <si>
    <t>DH</t>
  </si>
  <si>
    <t>DI</t>
  </si>
  <si>
    <t>DJ</t>
  </si>
  <si>
    <t>DK</t>
  </si>
  <si>
    <t>DM</t>
  </si>
  <si>
    <t>DN</t>
  </si>
  <si>
    <t>DP</t>
  </si>
  <si>
    <t>DQ</t>
  </si>
  <si>
    <t>DR</t>
  </si>
  <si>
    <t>DT</t>
  </si>
  <si>
    <t>DV</t>
  </si>
  <si>
    <t>DZ</t>
  </si>
  <si>
    <t>Capital</t>
  </si>
  <si>
    <t>Apporteurs capital non appelé (-)</t>
  </si>
  <si>
    <t>Primes liées au capital social</t>
  </si>
  <si>
    <t>Ecarts de réévaluation</t>
  </si>
  <si>
    <t>Réserves indisponibles</t>
  </si>
  <si>
    <t>Réserves libres</t>
  </si>
  <si>
    <t>Report à nouveau (+ ou -)</t>
  </si>
  <si>
    <t>Résultat net de l'exercice (bénéfice + ou perte -)</t>
  </si>
  <si>
    <t>Subventions d'investissement</t>
  </si>
  <si>
    <t>Provisions réglementées</t>
  </si>
  <si>
    <t>TOTAL CAPITAUX PROPRES ET RESSOURCES ASSIMILEES</t>
  </si>
  <si>
    <t>Emprunts et dettes financières diverses</t>
  </si>
  <si>
    <t>Dettes de location acquisition</t>
  </si>
  <si>
    <t>Provisions pour risques et charges</t>
  </si>
  <si>
    <t>TOTAL DETTES FINANCIERES ET RESSOURCES ASSIMILEES</t>
  </si>
  <si>
    <t>TOTAL RESSOURCES STABLES</t>
  </si>
  <si>
    <t>Dettes circulantes HAO</t>
  </si>
  <si>
    <t>Clients, avances reçues</t>
  </si>
  <si>
    <t>Fournisseurs d'exploitation</t>
  </si>
  <si>
    <t>Dettes fiscales et sociales</t>
  </si>
  <si>
    <t>Autres dettes</t>
  </si>
  <si>
    <t>Provisions pour risques à court terme</t>
  </si>
  <si>
    <t>TOTAL PASSIF CIRCULANT</t>
  </si>
  <si>
    <t>Banques, crédits d'escompte</t>
  </si>
  <si>
    <t>Banques, établissements financiers et crédits de trésorerie</t>
  </si>
  <si>
    <t>TOTAL TRESORERIE-PASSIF</t>
  </si>
  <si>
    <t>Ecart de conversion-Passif</t>
  </si>
  <si>
    <t>13</t>
  </si>
  <si>
    <t>14</t>
  </si>
  <si>
    <t>3e</t>
  </si>
  <si>
    <t>15</t>
  </si>
  <si>
    <t>16</t>
  </si>
  <si>
    <t>18</t>
  </si>
  <si>
    <t>19</t>
  </si>
  <si>
    <t>20</t>
  </si>
  <si>
    <t>Code OHADA</t>
  </si>
  <si>
    <t>Libellé</t>
  </si>
  <si>
    <t>Type</t>
  </si>
  <si>
    <t>API_Field</t>
  </si>
  <si>
    <t>JSON_Key</t>
  </si>
  <si>
    <t>201</t>
  </si>
  <si>
    <t>Charges immobilisées</t>
  </si>
  <si>
    <t>charges_immobilisees</t>
  </si>
  <si>
    <t>chargesImmobilisees</t>
  </si>
  <si>
    <t>21</t>
  </si>
  <si>
    <t>Immobilisations incorporelles</t>
  </si>
  <si>
    <t>immobilisations_incorporelles</t>
  </si>
  <si>
    <t>immobilisationsIncorporelles</t>
  </si>
  <si>
    <t>22</t>
  </si>
  <si>
    <t>Immobilisations corporelles</t>
  </si>
  <si>
    <t>immobilisations_corporelles</t>
  </si>
  <si>
    <t>immobilisationsCorporelles</t>
  </si>
  <si>
    <t>24</t>
  </si>
  <si>
    <t>Immobilisations financières</t>
  </si>
  <si>
    <t>immobilisations_financieres</t>
  </si>
  <si>
    <t>immobilisationsFinancieres</t>
  </si>
  <si>
    <t>31</t>
  </si>
  <si>
    <t>Stocks</t>
  </si>
  <si>
    <t>stocks</t>
  </si>
  <si>
    <t>41</t>
  </si>
  <si>
    <t>Créances clients</t>
  </si>
  <si>
    <t>creances_clients</t>
  </si>
  <si>
    <t>creancesClients</t>
  </si>
  <si>
    <t>50</t>
  </si>
  <si>
    <t>Trésorerie</t>
  </si>
  <si>
    <t>tresorerie</t>
  </si>
  <si>
    <t>capital</t>
  </si>
  <si>
    <t>Réserves</t>
  </si>
  <si>
    <t>reserves</t>
  </si>
  <si>
    <t>Résultat</t>
  </si>
  <si>
    <t>resultat</t>
  </si>
  <si>
    <t>Dettes financières</t>
  </si>
  <si>
    <t>dettes_financieres</t>
  </si>
  <si>
    <t>dettesFinancieres</t>
  </si>
  <si>
    <t>40</t>
  </si>
  <si>
    <t>Dettes fournisseurs</t>
  </si>
  <si>
    <t>dettes_fournisseurs</t>
  </si>
  <si>
    <t>dettesFournisseurs</t>
  </si>
  <si>
    <t>42</t>
  </si>
  <si>
    <t>Dettes fiscales</t>
  </si>
  <si>
    <t>dettes_fiscales</t>
  </si>
  <si>
    <t>dettesFiscales</t>
  </si>
  <si>
    <t>Structure JSON pour API</t>
  </si>
  <si>
    <t>{
  "actif": {
    "immobilise": {...},
    "circulant": {...}
  },
  "passif": {
    "capitaux_propres": {...},
    "dettes": {...}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</si>
</sst>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7" sqref="G7"/>
    </sheetView>
  </sheetViews>
  <sheetFormatPr defaultRowHeight="15" x14ac:dyDescent="0.25"/>
  <cols>
    <col min="2" max="2" width="46.140625" customWidth="1"/>
    <col min="3" max="3" width="18.28515625" customWidth="1"/>
    <col min="5" max="5" width="1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36</v>
      </c>
      <c r="C2" s="2" t="s">
        <v>65</v>
      </c>
      <c r="D2" s="2">
        <f>SUM(D3:D6)</f>
        <v>0</v>
      </c>
      <c r="E2" s="2">
        <f>SUM(E3:E6)</f>
        <v>0</v>
      </c>
      <c r="F2" s="2">
        <f t="shared" ref="F2:F30" si="0">D2-E2</f>
        <v>0</v>
      </c>
      <c r="G2" s="2">
        <f>SUM(G3:G6)</f>
        <v>0</v>
      </c>
    </row>
    <row r="3" spans="1:7" x14ac:dyDescent="0.25">
      <c r="A3" t="s">
        <v>8</v>
      </c>
      <c r="B3" t="s">
        <v>37</v>
      </c>
      <c r="D3">
        <v>0</v>
      </c>
      <c r="E3">
        <v>0</v>
      </c>
      <c r="F3">
        <f t="shared" si="0"/>
        <v>0</v>
      </c>
      <c r="G3">
        <v>0</v>
      </c>
    </row>
    <row r="4" spans="1:7" x14ac:dyDescent="0.25">
      <c r="A4" t="s">
        <v>9</v>
      </c>
      <c r="B4" t="s">
        <v>38</v>
      </c>
      <c r="D4">
        <v>0</v>
      </c>
      <c r="E4">
        <v>0</v>
      </c>
      <c r="F4">
        <f t="shared" si="0"/>
        <v>0</v>
      </c>
      <c r="G4">
        <v>0</v>
      </c>
    </row>
    <row r="5" spans="1:7" x14ac:dyDescent="0.25">
      <c r="A5" t="s">
        <v>10</v>
      </c>
      <c r="B5" t="s">
        <v>39</v>
      </c>
      <c r="D5">
        <v>0</v>
      </c>
      <c r="E5">
        <v>0</v>
      </c>
      <c r="F5">
        <f t="shared" si="0"/>
        <v>0</v>
      </c>
      <c r="G5">
        <v>0</v>
      </c>
    </row>
    <row r="6" spans="1:7" x14ac:dyDescent="0.25">
      <c r="A6" t="s">
        <v>11</v>
      </c>
      <c r="B6" t="s">
        <v>40</v>
      </c>
      <c r="D6">
        <v>0</v>
      </c>
      <c r="E6">
        <v>0</v>
      </c>
      <c r="F6">
        <f t="shared" si="0"/>
        <v>0</v>
      </c>
      <c r="G6">
        <v>0</v>
      </c>
    </row>
    <row r="7" spans="1:7" s="2" customFormat="1" x14ac:dyDescent="0.25">
      <c r="A7" s="2" t="s">
        <v>12</v>
      </c>
      <c r="B7" s="2" t="s">
        <v>41</v>
      </c>
      <c r="C7" s="2" t="s">
        <v>65</v>
      </c>
      <c r="D7" s="2">
        <f>SUM(D8:D13)</f>
        <v>0</v>
      </c>
      <c r="E7" s="2">
        <f>SUM(E8:E13)</f>
        <v>0</v>
      </c>
      <c r="F7" s="2">
        <f t="shared" si="0"/>
        <v>0</v>
      </c>
      <c r="G7" s="2">
        <f>SUM(G8:G13)</f>
        <v>0</v>
      </c>
    </row>
    <row r="8" spans="1:7" x14ac:dyDescent="0.25">
      <c r="A8" t="s">
        <v>13</v>
      </c>
      <c r="B8" t="s">
        <v>42</v>
      </c>
      <c r="D8">
        <v>0</v>
      </c>
      <c r="E8">
        <v>0</v>
      </c>
      <c r="F8">
        <f t="shared" si="0"/>
        <v>0</v>
      </c>
      <c r="G8">
        <v>0</v>
      </c>
    </row>
    <row r="9" spans="1:7" x14ac:dyDescent="0.25">
      <c r="A9" t="s">
        <v>14</v>
      </c>
      <c r="B9" t="s">
        <v>43</v>
      </c>
      <c r="D9">
        <v>0</v>
      </c>
      <c r="E9">
        <v>0</v>
      </c>
      <c r="F9">
        <f t="shared" si="0"/>
        <v>0</v>
      </c>
      <c r="G9">
        <v>0</v>
      </c>
    </row>
    <row r="10" spans="1:7" x14ac:dyDescent="0.25">
      <c r="A10" t="s">
        <v>15</v>
      </c>
      <c r="B10" t="s">
        <v>44</v>
      </c>
      <c r="D10">
        <v>0</v>
      </c>
      <c r="E10">
        <v>0</v>
      </c>
      <c r="F10">
        <f t="shared" si="0"/>
        <v>0</v>
      </c>
      <c r="G10">
        <v>0</v>
      </c>
    </row>
    <row r="11" spans="1:7" x14ac:dyDescent="0.25">
      <c r="A11" t="s">
        <v>16</v>
      </c>
      <c r="B11" t="s">
        <v>45</v>
      </c>
      <c r="D11">
        <v>0</v>
      </c>
      <c r="E11">
        <v>0</v>
      </c>
      <c r="F11">
        <f t="shared" si="0"/>
        <v>0</v>
      </c>
      <c r="G11">
        <v>0</v>
      </c>
    </row>
    <row r="12" spans="1:7" x14ac:dyDescent="0.25">
      <c r="A12" t="s">
        <v>17</v>
      </c>
      <c r="B12" t="s">
        <v>46</v>
      </c>
      <c r="D12">
        <v>0</v>
      </c>
      <c r="E12">
        <v>0</v>
      </c>
      <c r="F12">
        <f t="shared" si="0"/>
        <v>0</v>
      </c>
      <c r="G12">
        <v>0</v>
      </c>
    </row>
    <row r="13" spans="1:7" x14ac:dyDescent="0.25">
      <c r="A13" t="s">
        <v>18</v>
      </c>
      <c r="B13" t="s">
        <v>47</v>
      </c>
      <c r="C13" t="s">
        <v>65</v>
      </c>
      <c r="D13">
        <v>0</v>
      </c>
      <c r="E13">
        <v>0</v>
      </c>
      <c r="F13">
        <f t="shared" si="0"/>
        <v>0</v>
      </c>
      <c r="G13">
        <v>0</v>
      </c>
    </row>
    <row r="14" spans="1:7" s="2" customFormat="1" x14ac:dyDescent="0.25">
      <c r="A14" s="2" t="s">
        <v>19</v>
      </c>
      <c r="B14" s="2" t="s">
        <v>48</v>
      </c>
      <c r="C14" s="2" t="s">
        <v>66</v>
      </c>
      <c r="D14" s="2">
        <f>SUM(D15:D16)</f>
        <v>0</v>
      </c>
      <c r="E14" s="2">
        <f>SUM(E15:E16)</f>
        <v>0</v>
      </c>
      <c r="F14" s="2">
        <f t="shared" si="0"/>
        <v>0</v>
      </c>
      <c r="G14" s="2">
        <f>SUM(G15:G16)</f>
        <v>0</v>
      </c>
    </row>
    <row r="15" spans="1:7" x14ac:dyDescent="0.25">
      <c r="A15" t="s">
        <v>20</v>
      </c>
      <c r="B15" t="s">
        <v>49</v>
      </c>
      <c r="D15">
        <v>0</v>
      </c>
      <c r="E15">
        <v>0</v>
      </c>
      <c r="F15">
        <f t="shared" si="0"/>
        <v>0</v>
      </c>
      <c r="G15">
        <v>0</v>
      </c>
    </row>
    <row r="16" spans="1:7" x14ac:dyDescent="0.25">
      <c r="A16" t="s">
        <v>21</v>
      </c>
      <c r="B16" t="s">
        <v>50</v>
      </c>
      <c r="D16">
        <v>0</v>
      </c>
      <c r="E16">
        <v>0</v>
      </c>
      <c r="F16">
        <f t="shared" si="0"/>
        <v>0</v>
      </c>
      <c r="G16">
        <v>0</v>
      </c>
    </row>
    <row r="17" spans="1:7" s="3" customFormat="1" x14ac:dyDescent="0.25">
      <c r="A17" s="3" t="s">
        <v>22</v>
      </c>
      <c r="B17" s="3" t="s">
        <v>51</v>
      </c>
      <c r="D17" s="3">
        <f>D2+D7+D14</f>
        <v>0</v>
      </c>
      <c r="E17" s="3">
        <f>E2+E7+E14</f>
        <v>0</v>
      </c>
      <c r="F17" s="3">
        <f t="shared" si="0"/>
        <v>0</v>
      </c>
      <c r="G17" s="3">
        <f>G2+G7+G14</f>
        <v>0</v>
      </c>
    </row>
    <row r="18" spans="1:7" x14ac:dyDescent="0.25">
      <c r="A18" t="s">
        <v>23</v>
      </c>
      <c r="B18" t="s">
        <v>52</v>
      </c>
      <c r="C18" t="s">
        <v>67</v>
      </c>
      <c r="D18">
        <v>0</v>
      </c>
      <c r="E18">
        <v>0</v>
      </c>
      <c r="F18">
        <f t="shared" si="0"/>
        <v>0</v>
      </c>
      <c r="G18">
        <v>0</v>
      </c>
    </row>
    <row r="19" spans="1:7" x14ac:dyDescent="0.25">
      <c r="A19" t="s">
        <v>24</v>
      </c>
      <c r="B19" t="s">
        <v>53</v>
      </c>
      <c r="C19" t="s">
        <v>68</v>
      </c>
      <c r="D19">
        <v>0</v>
      </c>
      <c r="E19">
        <v>0</v>
      </c>
      <c r="F19">
        <f t="shared" si="0"/>
        <v>0</v>
      </c>
      <c r="G19">
        <v>0</v>
      </c>
    </row>
    <row r="20" spans="1:7" s="2" customFormat="1" x14ac:dyDescent="0.25">
      <c r="A20" s="2" t="s">
        <v>25</v>
      </c>
      <c r="B20" s="2" t="s">
        <v>54</v>
      </c>
      <c r="D20" s="2">
        <f ca="1">SUM(D20:D22)</f>
        <v>0</v>
      </c>
      <c r="E20" s="2">
        <f ca="1">SUM(E20:E22)</f>
        <v>0</v>
      </c>
      <c r="F20" s="2">
        <f t="shared" ca="1" si="0"/>
        <v>0</v>
      </c>
      <c r="G20" s="2">
        <f ca="1">SUM(G20:G22)</f>
        <v>0</v>
      </c>
    </row>
    <row r="21" spans="1:7" x14ac:dyDescent="0.25">
      <c r="A21" t="s">
        <v>26</v>
      </c>
      <c r="B21" t="s">
        <v>55</v>
      </c>
      <c r="C21" t="s">
        <v>69</v>
      </c>
      <c r="D21">
        <v>0</v>
      </c>
      <c r="E21">
        <v>0</v>
      </c>
      <c r="F21">
        <f t="shared" si="0"/>
        <v>0</v>
      </c>
      <c r="G21">
        <v>0</v>
      </c>
    </row>
    <row r="22" spans="1:7" x14ac:dyDescent="0.25">
      <c r="A22" t="s">
        <v>27</v>
      </c>
      <c r="B22" t="s">
        <v>56</v>
      </c>
      <c r="C22" t="s">
        <v>70</v>
      </c>
      <c r="D22">
        <v>0</v>
      </c>
      <c r="E22">
        <v>0</v>
      </c>
      <c r="F22">
        <f t="shared" si="0"/>
        <v>0</v>
      </c>
      <c r="G22">
        <v>0</v>
      </c>
    </row>
    <row r="23" spans="1:7" x14ac:dyDescent="0.25">
      <c r="A23" t="s">
        <v>28</v>
      </c>
      <c r="B23" t="s">
        <v>57</v>
      </c>
      <c r="C23" t="s">
        <v>71</v>
      </c>
      <c r="D23">
        <v>0</v>
      </c>
      <c r="E23">
        <v>0</v>
      </c>
      <c r="F23">
        <f t="shared" si="0"/>
        <v>0</v>
      </c>
      <c r="G23">
        <v>0</v>
      </c>
    </row>
    <row r="24" spans="1:7" s="3" customFormat="1" x14ac:dyDescent="0.25">
      <c r="A24" s="3" t="s">
        <v>29</v>
      </c>
      <c r="B24" s="3" t="s">
        <v>58</v>
      </c>
      <c r="D24" s="3">
        <f ca="1">D18+D19+D20</f>
        <v>0</v>
      </c>
      <c r="E24" s="3">
        <f ca="1">E18+E19+E20</f>
        <v>0</v>
      </c>
      <c r="F24" s="3">
        <f t="shared" ca="1" si="0"/>
        <v>0</v>
      </c>
      <c r="G24" s="3">
        <f ca="1">G18+G19+G20</f>
        <v>0</v>
      </c>
    </row>
    <row r="25" spans="1:7" x14ac:dyDescent="0.25">
      <c r="A25" t="s">
        <v>30</v>
      </c>
      <c r="B25" t="s">
        <v>59</v>
      </c>
      <c r="C25" t="s">
        <v>72</v>
      </c>
      <c r="D25">
        <v>0</v>
      </c>
      <c r="E25">
        <v>0</v>
      </c>
      <c r="F25">
        <f t="shared" si="0"/>
        <v>0</v>
      </c>
      <c r="G25">
        <v>0</v>
      </c>
    </row>
    <row r="26" spans="1:7" x14ac:dyDescent="0.25">
      <c r="A26" t="s">
        <v>31</v>
      </c>
      <c r="B26" t="s">
        <v>60</v>
      </c>
      <c r="C26" t="s">
        <v>73</v>
      </c>
      <c r="D26">
        <v>0</v>
      </c>
      <c r="E26">
        <v>0</v>
      </c>
      <c r="F26">
        <f t="shared" si="0"/>
        <v>0</v>
      </c>
      <c r="G26">
        <v>0</v>
      </c>
    </row>
    <row r="27" spans="1:7" x14ac:dyDescent="0.25">
      <c r="A27" t="s">
        <v>32</v>
      </c>
      <c r="B27" t="s">
        <v>61</v>
      </c>
      <c r="C27" t="s">
        <v>74</v>
      </c>
      <c r="D27">
        <v>0</v>
      </c>
      <c r="E27">
        <v>0</v>
      </c>
      <c r="F27">
        <f t="shared" si="0"/>
        <v>0</v>
      </c>
      <c r="G27">
        <v>0</v>
      </c>
    </row>
    <row r="28" spans="1:7" s="3" customFormat="1" x14ac:dyDescent="0.25">
      <c r="A28" s="3" t="s">
        <v>33</v>
      </c>
      <c r="B28" s="3" t="s">
        <v>62</v>
      </c>
      <c r="D28" s="3">
        <f>D25+D26+D27</f>
        <v>0</v>
      </c>
      <c r="E28" s="3">
        <f>E25+E26+E27</f>
        <v>0</v>
      </c>
      <c r="F28" s="3">
        <f t="shared" si="0"/>
        <v>0</v>
      </c>
      <c r="G28" s="3">
        <f>G25+G26+G27</f>
        <v>0</v>
      </c>
    </row>
    <row r="29" spans="1:7" x14ac:dyDescent="0.25">
      <c r="A29" t="s">
        <v>34</v>
      </c>
      <c r="B29" t="s">
        <v>63</v>
      </c>
      <c r="C29" t="s">
        <v>75</v>
      </c>
      <c r="D29">
        <v>0</v>
      </c>
      <c r="E29">
        <v>0</v>
      </c>
      <c r="F29">
        <f t="shared" si="0"/>
        <v>0</v>
      </c>
      <c r="G29">
        <v>0</v>
      </c>
    </row>
    <row r="30" spans="1:7" s="3" customFormat="1" x14ac:dyDescent="0.25">
      <c r="A30" s="3" t="s">
        <v>35</v>
      </c>
      <c r="B30" s="3" t="s">
        <v>64</v>
      </c>
      <c r="D30" s="3">
        <f ca="1">D17+D24+D28+D29</f>
        <v>0</v>
      </c>
      <c r="E30" s="3">
        <f ca="1">E17+E24+E28+E29</f>
        <v>0</v>
      </c>
      <c r="F30" s="3">
        <f t="shared" ca="1" si="0"/>
        <v>0</v>
      </c>
      <c r="G30" s="3">
        <f ca="1">G17+G24+G28+G29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opLeftCell="A16" workbookViewId="0">
      <selection activeCell="D28" sqref="D28"/>
    </sheetView>
  </sheetViews>
  <sheetFormatPr defaultRowHeight="15" x14ac:dyDescent="0.25"/>
  <cols>
    <col min="2" max="2" width="52.85546875" customWidth="1"/>
    <col min="3" max="3" width="12.85546875" customWidth="1"/>
  </cols>
  <sheetData>
    <row r="1" spans="1:5" x14ac:dyDescent="0.25">
      <c r="A1" s="1" t="s">
        <v>0</v>
      </c>
      <c r="B1" s="1" t="s">
        <v>76</v>
      </c>
      <c r="C1" s="1" t="s">
        <v>2</v>
      </c>
      <c r="D1" s="1" t="s">
        <v>5</v>
      </c>
      <c r="E1" s="1" t="s">
        <v>6</v>
      </c>
    </row>
    <row r="2" spans="1:5" x14ac:dyDescent="0.25">
      <c r="A2" t="s">
        <v>77</v>
      </c>
      <c r="B2" t="s">
        <v>105</v>
      </c>
      <c r="C2" t="s">
        <v>132</v>
      </c>
      <c r="D2">
        <v>0</v>
      </c>
      <c r="E2">
        <v>0</v>
      </c>
    </row>
    <row r="3" spans="1:5" x14ac:dyDescent="0.25">
      <c r="A3" t="s">
        <v>78</v>
      </c>
      <c r="B3" t="s">
        <v>106</v>
      </c>
      <c r="C3" t="s">
        <v>132</v>
      </c>
      <c r="D3">
        <v>0</v>
      </c>
      <c r="E3">
        <v>0</v>
      </c>
    </row>
    <row r="4" spans="1:5" x14ac:dyDescent="0.25">
      <c r="A4" t="s">
        <v>79</v>
      </c>
      <c r="B4" t="s">
        <v>107</v>
      </c>
      <c r="C4" t="s">
        <v>133</v>
      </c>
      <c r="D4">
        <v>0</v>
      </c>
      <c r="E4">
        <v>0</v>
      </c>
    </row>
    <row r="5" spans="1:5" x14ac:dyDescent="0.25">
      <c r="A5" t="s">
        <v>80</v>
      </c>
      <c r="B5" t="s">
        <v>108</v>
      </c>
      <c r="C5" t="s">
        <v>134</v>
      </c>
      <c r="D5">
        <v>0</v>
      </c>
      <c r="E5">
        <v>0</v>
      </c>
    </row>
    <row r="6" spans="1:5" x14ac:dyDescent="0.25">
      <c r="A6" t="s">
        <v>81</v>
      </c>
      <c r="B6" t="s">
        <v>109</v>
      </c>
      <c r="C6" t="s">
        <v>133</v>
      </c>
      <c r="D6">
        <v>0</v>
      </c>
      <c r="E6">
        <v>0</v>
      </c>
    </row>
    <row r="7" spans="1:5" x14ac:dyDescent="0.25">
      <c r="A7" t="s">
        <v>82</v>
      </c>
      <c r="B7" t="s">
        <v>110</v>
      </c>
      <c r="C7" t="s">
        <v>133</v>
      </c>
      <c r="D7">
        <v>0</v>
      </c>
      <c r="E7">
        <v>0</v>
      </c>
    </row>
    <row r="8" spans="1:5" x14ac:dyDescent="0.25">
      <c r="A8" t="s">
        <v>83</v>
      </c>
      <c r="B8" t="s">
        <v>111</v>
      </c>
      <c r="C8" t="s">
        <v>133</v>
      </c>
      <c r="D8">
        <v>0</v>
      </c>
      <c r="E8">
        <v>0</v>
      </c>
    </row>
    <row r="9" spans="1:5" x14ac:dyDescent="0.25">
      <c r="A9" t="s">
        <v>84</v>
      </c>
      <c r="B9" t="s">
        <v>112</v>
      </c>
      <c r="D9">
        <v>0</v>
      </c>
      <c r="E9">
        <v>0</v>
      </c>
    </row>
    <row r="10" spans="1:5" x14ac:dyDescent="0.25">
      <c r="A10" t="s">
        <v>85</v>
      </c>
      <c r="B10" t="s">
        <v>113</v>
      </c>
      <c r="C10" t="s">
        <v>135</v>
      </c>
      <c r="D10">
        <v>0</v>
      </c>
      <c r="E10">
        <v>0</v>
      </c>
    </row>
    <row r="11" spans="1:5" x14ac:dyDescent="0.25">
      <c r="A11" t="s">
        <v>86</v>
      </c>
      <c r="B11" t="s">
        <v>114</v>
      </c>
      <c r="C11" t="s">
        <v>135</v>
      </c>
      <c r="D11">
        <v>0</v>
      </c>
      <c r="E11">
        <v>0</v>
      </c>
    </row>
    <row r="12" spans="1:5" s="3" customFormat="1" x14ac:dyDescent="0.25">
      <c r="A12" s="3" t="s">
        <v>87</v>
      </c>
      <c r="B12" s="3" t="s">
        <v>115</v>
      </c>
      <c r="D12" s="3">
        <f>D2-D3+D4+D5+D6+D7+D8+D9+D10+D11</f>
        <v>0</v>
      </c>
      <c r="E12" s="3">
        <f>E2-E3+E4+E5+E6+E7+E8+E9+E10+E11</f>
        <v>0</v>
      </c>
    </row>
    <row r="13" spans="1:5" x14ac:dyDescent="0.25">
      <c r="A13" t="s">
        <v>88</v>
      </c>
      <c r="B13" t="s">
        <v>116</v>
      </c>
      <c r="C13" t="s">
        <v>136</v>
      </c>
      <c r="D13">
        <v>0</v>
      </c>
      <c r="E13">
        <v>0</v>
      </c>
    </row>
    <row r="14" spans="1:5" x14ac:dyDescent="0.25">
      <c r="A14" t="s">
        <v>89</v>
      </c>
      <c r="B14" t="s">
        <v>117</v>
      </c>
      <c r="C14" t="s">
        <v>136</v>
      </c>
      <c r="D14">
        <v>0</v>
      </c>
      <c r="E14">
        <v>0</v>
      </c>
    </row>
    <row r="15" spans="1:5" x14ac:dyDescent="0.25">
      <c r="A15" t="s">
        <v>90</v>
      </c>
      <c r="B15" t="s">
        <v>118</v>
      </c>
      <c r="C15" t="s">
        <v>136</v>
      </c>
      <c r="D15">
        <v>0</v>
      </c>
      <c r="E15">
        <v>0</v>
      </c>
    </row>
    <row r="16" spans="1:5" s="3" customFormat="1" x14ac:dyDescent="0.25">
      <c r="A16" s="3" t="s">
        <v>91</v>
      </c>
      <c r="B16" s="3" t="s">
        <v>119</v>
      </c>
      <c r="D16" s="3">
        <f>SUM(D13:D15)</f>
        <v>0</v>
      </c>
      <c r="E16" s="3">
        <f>SUM(E13:E15)</f>
        <v>0</v>
      </c>
    </row>
    <row r="17" spans="1:5" s="3" customFormat="1" x14ac:dyDescent="0.25">
      <c r="A17" s="3" t="s">
        <v>92</v>
      </c>
      <c r="B17" s="3" t="s">
        <v>120</v>
      </c>
      <c r="D17" s="3">
        <f>D12+D16</f>
        <v>0</v>
      </c>
      <c r="E17" s="3">
        <f>E12+E16</f>
        <v>0</v>
      </c>
    </row>
    <row r="18" spans="1:5" x14ac:dyDescent="0.25">
      <c r="A18" t="s">
        <v>93</v>
      </c>
      <c r="B18" t="s">
        <v>121</v>
      </c>
      <c r="C18" t="s">
        <v>67</v>
      </c>
      <c r="D18">
        <v>0</v>
      </c>
      <c r="E18">
        <v>0</v>
      </c>
    </row>
    <row r="19" spans="1:5" x14ac:dyDescent="0.25">
      <c r="A19" t="s">
        <v>94</v>
      </c>
      <c r="B19" t="s">
        <v>122</v>
      </c>
      <c r="C19" t="s">
        <v>70</v>
      </c>
      <c r="D19">
        <v>0</v>
      </c>
      <c r="E19">
        <v>0</v>
      </c>
    </row>
    <row r="20" spans="1:5" x14ac:dyDescent="0.25">
      <c r="A20" t="s">
        <v>95</v>
      </c>
      <c r="B20" t="s">
        <v>123</v>
      </c>
      <c r="C20" t="s">
        <v>69</v>
      </c>
      <c r="D20">
        <v>0</v>
      </c>
      <c r="E20">
        <v>0</v>
      </c>
    </row>
    <row r="21" spans="1:5" x14ac:dyDescent="0.25">
      <c r="A21" t="s">
        <v>96</v>
      </c>
      <c r="B21" t="s">
        <v>124</v>
      </c>
      <c r="C21" t="s">
        <v>137</v>
      </c>
      <c r="D21">
        <v>0</v>
      </c>
      <c r="E21">
        <v>0</v>
      </c>
    </row>
    <row r="22" spans="1:5" x14ac:dyDescent="0.25">
      <c r="A22" t="s">
        <v>97</v>
      </c>
      <c r="B22" t="s">
        <v>125</v>
      </c>
      <c r="C22" t="s">
        <v>138</v>
      </c>
      <c r="D22">
        <v>0</v>
      </c>
      <c r="E22">
        <v>0</v>
      </c>
    </row>
    <row r="23" spans="1:5" x14ac:dyDescent="0.25">
      <c r="A23" t="s">
        <v>98</v>
      </c>
      <c r="B23" t="s">
        <v>126</v>
      </c>
      <c r="C23" t="s">
        <v>138</v>
      </c>
      <c r="D23">
        <v>0</v>
      </c>
      <c r="E23">
        <v>0</v>
      </c>
    </row>
    <row r="24" spans="1:5" s="3" customFormat="1" x14ac:dyDescent="0.25">
      <c r="A24" s="3" t="s">
        <v>99</v>
      </c>
      <c r="B24" s="3" t="s">
        <v>127</v>
      </c>
      <c r="D24" s="3">
        <f>SUM(D18:D23)</f>
        <v>0</v>
      </c>
      <c r="E24" s="3">
        <f>SUM(E18:E23)</f>
        <v>0</v>
      </c>
    </row>
    <row r="25" spans="1:5" x14ac:dyDescent="0.25">
      <c r="A25" t="s">
        <v>100</v>
      </c>
      <c r="B25" t="s">
        <v>128</v>
      </c>
      <c r="C25" t="s">
        <v>139</v>
      </c>
      <c r="D25">
        <v>0</v>
      </c>
      <c r="E25">
        <v>0</v>
      </c>
    </row>
    <row r="26" spans="1:5" x14ac:dyDescent="0.25">
      <c r="A26" t="s">
        <v>101</v>
      </c>
      <c r="B26" t="s">
        <v>129</v>
      </c>
      <c r="C26" t="s">
        <v>139</v>
      </c>
      <c r="D26">
        <v>0</v>
      </c>
      <c r="E26">
        <v>0</v>
      </c>
    </row>
    <row r="27" spans="1:5" s="3" customFormat="1" x14ac:dyDescent="0.25">
      <c r="A27" s="3" t="s">
        <v>102</v>
      </c>
      <c r="B27" s="3" t="s">
        <v>130</v>
      </c>
      <c r="D27" s="3">
        <f>SUM(D25:D26)</f>
        <v>0</v>
      </c>
      <c r="E27" s="3">
        <f>SUM(E25:E26)</f>
        <v>0</v>
      </c>
    </row>
    <row r="28" spans="1:5" x14ac:dyDescent="0.25">
      <c r="A28" t="s">
        <v>103</v>
      </c>
      <c r="B28" t="s">
        <v>131</v>
      </c>
      <c r="C28" t="s">
        <v>75</v>
      </c>
      <c r="D28">
        <v>0</v>
      </c>
      <c r="E28">
        <v>0</v>
      </c>
    </row>
    <row r="29" spans="1:5" s="3" customFormat="1" x14ac:dyDescent="0.25">
      <c r="A29" s="3" t="s">
        <v>104</v>
      </c>
      <c r="B29" s="3" t="s">
        <v>64</v>
      </c>
      <c r="D29" s="3">
        <f>D17+D24+D27+D28</f>
        <v>0</v>
      </c>
      <c r="E29" s="3">
        <f>E17+E24+E27+E28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8F14-BD76-4662-9C87-E7A2CFEC23FA}">
  <dimension ref="A1:E14"/>
  <sheetViews>
    <sheetView workbookViewId="0">
      <selection activeCell="C19" sqref="C19"/>
    </sheetView>
  </sheetViews>
  <sheetFormatPr defaultRowHeight="15" x14ac:dyDescent="0.25"/>
  <cols>
    <col min="2" max="2" width="32" customWidth="1"/>
    <col min="3" max="3" width="15.42578125" customWidth="1"/>
    <col min="4" max="4" width="29.7109375" customWidth="1"/>
    <col min="5" max="5" width="37.28515625" customWidth="1"/>
  </cols>
  <sheetData>
    <row r="1" spans="1:5" x14ac:dyDescent="0.25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</row>
    <row r="2" spans="1:5" x14ac:dyDescent="0.25">
      <c r="A2" t="s">
        <v>145</v>
      </c>
      <c r="B2" t="s">
        <v>146</v>
      </c>
      <c r="C2" t="s">
        <v>1</v>
      </c>
      <c r="D2" t="s">
        <v>147</v>
      </c>
      <c r="E2" t="s">
        <v>148</v>
      </c>
    </row>
    <row r="3" spans="1:5" x14ac:dyDescent="0.25">
      <c r="A3" t="s">
        <v>149</v>
      </c>
      <c r="B3" t="s">
        <v>150</v>
      </c>
      <c r="C3" t="s">
        <v>1</v>
      </c>
      <c r="D3" t="s">
        <v>151</v>
      </c>
      <c r="E3" t="s">
        <v>152</v>
      </c>
    </row>
    <row r="4" spans="1:5" x14ac:dyDescent="0.25">
      <c r="A4" t="s">
        <v>153</v>
      </c>
      <c r="B4" t="s">
        <v>154</v>
      </c>
      <c r="C4" t="s">
        <v>1</v>
      </c>
      <c r="D4" t="s">
        <v>155</v>
      </c>
      <c r="E4" t="s">
        <v>156</v>
      </c>
    </row>
    <row r="5" spans="1:5" x14ac:dyDescent="0.25">
      <c r="A5" t="s">
        <v>157</v>
      </c>
      <c r="B5" t="s">
        <v>158</v>
      </c>
      <c r="C5" t="s">
        <v>1</v>
      </c>
      <c r="D5" t="s">
        <v>159</v>
      </c>
      <c r="E5" t="s">
        <v>160</v>
      </c>
    </row>
    <row r="6" spans="1:5" x14ac:dyDescent="0.25">
      <c r="A6" t="s">
        <v>161</v>
      </c>
      <c r="B6" t="s">
        <v>162</v>
      </c>
      <c r="C6" t="s">
        <v>1</v>
      </c>
      <c r="D6" t="s">
        <v>163</v>
      </c>
      <c r="E6" t="s">
        <v>163</v>
      </c>
    </row>
    <row r="7" spans="1:5" x14ac:dyDescent="0.25">
      <c r="A7" t="s">
        <v>164</v>
      </c>
      <c r="B7" t="s">
        <v>165</v>
      </c>
      <c r="C7" t="s">
        <v>1</v>
      </c>
      <c r="D7" t="s">
        <v>166</v>
      </c>
      <c r="E7" t="s">
        <v>167</v>
      </c>
    </row>
    <row r="8" spans="1:5" x14ac:dyDescent="0.25">
      <c r="A8" t="s">
        <v>168</v>
      </c>
      <c r="B8" t="s">
        <v>169</v>
      </c>
      <c r="C8" t="s">
        <v>1</v>
      </c>
      <c r="D8" t="s">
        <v>170</v>
      </c>
      <c r="E8" t="s">
        <v>170</v>
      </c>
    </row>
    <row r="9" spans="1:5" x14ac:dyDescent="0.25">
      <c r="A9" t="s">
        <v>73</v>
      </c>
      <c r="B9" t="s">
        <v>105</v>
      </c>
      <c r="C9" t="s">
        <v>76</v>
      </c>
      <c r="D9" t="s">
        <v>171</v>
      </c>
      <c r="E9" t="s">
        <v>171</v>
      </c>
    </row>
    <row r="10" spans="1:5" x14ac:dyDescent="0.25">
      <c r="A10" t="s">
        <v>74</v>
      </c>
      <c r="B10" t="s">
        <v>172</v>
      </c>
      <c r="C10" t="s">
        <v>76</v>
      </c>
      <c r="D10" t="s">
        <v>173</v>
      </c>
      <c r="E10" t="s">
        <v>173</v>
      </c>
    </row>
    <row r="11" spans="1:5" x14ac:dyDescent="0.25">
      <c r="A11" t="s">
        <v>133</v>
      </c>
      <c r="B11" t="s">
        <v>174</v>
      </c>
      <c r="C11" t="s">
        <v>76</v>
      </c>
      <c r="D11" t="s">
        <v>175</v>
      </c>
      <c r="E11" t="s">
        <v>175</v>
      </c>
    </row>
    <row r="12" spans="1:5" x14ac:dyDescent="0.25">
      <c r="A12" t="s">
        <v>136</v>
      </c>
      <c r="B12" t="s">
        <v>176</v>
      </c>
      <c r="C12" t="s">
        <v>76</v>
      </c>
      <c r="D12" t="s">
        <v>177</v>
      </c>
      <c r="E12" t="s">
        <v>178</v>
      </c>
    </row>
    <row r="13" spans="1:5" x14ac:dyDescent="0.25">
      <c r="A13" t="s">
        <v>179</v>
      </c>
      <c r="B13" t="s">
        <v>180</v>
      </c>
      <c r="C13" t="s">
        <v>76</v>
      </c>
      <c r="D13" t="s">
        <v>181</v>
      </c>
      <c r="E13" t="s">
        <v>182</v>
      </c>
    </row>
    <row r="14" spans="1:5" x14ac:dyDescent="0.25">
      <c r="A14" t="s">
        <v>183</v>
      </c>
      <c r="B14" t="s">
        <v>184</v>
      </c>
      <c r="C14" t="s">
        <v>76</v>
      </c>
      <c r="D14" t="s">
        <v>185</v>
      </c>
      <c r="E14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5B90-7A1F-40F4-A072-9A5069D19A81}">
  <dimension ref="A1:A3"/>
  <sheetViews>
    <sheetView workbookViewId="0">
      <selection activeCell="I19" sqref="I19"/>
    </sheetView>
  </sheetViews>
  <sheetFormatPr defaultRowHeight="15" x14ac:dyDescent="0.25"/>
  <sheetData>
    <row r="1" spans="1:1" x14ac:dyDescent="0.25">
      <c r="A1" s="5" t="s">
        <v>187</v>
      </c>
    </row>
    <row r="3" spans="1:1" x14ac:dyDescent="0.25">
      <c r="A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ACTIF</vt:lpstr>
      <vt:lpstr>PASSIF</vt:lpstr>
      <vt:lpstr>Mapping API</vt:lpstr>
      <vt:lpstr>JSON_Export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MAHOUNA THIERRY MARTIAL TCHANGOLE</cp:lastModifiedBy>
  <dcterms:created xsi:type="dcterms:W3CDTF">2026-04-06T22:05:56Z</dcterms:created>
  <dcterms:modified xsi:type="dcterms:W3CDTF">2026-04-07T22:44:25Z</dcterms:modified>
</cp:coreProperties>
</file>